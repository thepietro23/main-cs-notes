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README" sheetId="1" state="visible" r:id="rId1"/>
    <sheet xmlns:r="http://schemas.openxmlformats.org/officeDocument/2006/relationships" name="01 Master Syllabus" sheetId="2" state="visible" r:id="rId2"/>
    <sheet xmlns:r="http://schemas.openxmlformats.org/officeDocument/2006/relationships" name="02 Study Plan" sheetId="3" state="visible" r:id="rId3"/>
    <sheet xmlns:r="http://schemas.openxmlformats.org/officeDocument/2006/relationships" name="03 SEBI PYQ Topics" sheetId="4" state="visible" r:id="rId4"/>
    <sheet xmlns:r="http://schemas.openxmlformats.org/officeDocument/2006/relationships" name="04 Exam Mapping" sheetId="5" state="visible" r:id="rId5"/>
    <sheet xmlns:r="http://schemas.openxmlformats.org/officeDocument/2006/relationships" name="05 Interview Focus" sheetId="6" state="visible" r:id="rId6"/>
    <sheet xmlns:r="http://schemas.openxmlformats.org/officeDocument/2006/relationships" name="06 Progress Dashboar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1F3864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496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CE4D6"/>
      </patternFill>
    </fill>
    <fill>
      <patternFill patternType="solid">
        <fgColor rgb="00FFC7CE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/>
    </xf>
    <xf numFmtId="0" fontId="0" fillId="0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top"/>
    </xf>
    <xf numFmtId="0" fontId="0" fillId="4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left" vertical="top"/>
    </xf>
    <xf numFmtId="0" fontId="0" fillId="6" borderId="1" applyAlignment="1" pivotButton="0" quotePrefix="0" xfId="0">
      <alignment horizontal="left" vertical="top"/>
    </xf>
    <xf numFmtId="0" fontId="0" fillId="9" borderId="1" applyAlignment="1" pivotButton="0" quotePrefix="0" xfId="0">
      <alignment horizontal="left" vertical="top"/>
    </xf>
    <xf numFmtId="0" fontId="2" fillId="0" borderId="1" pivotButton="0" quotePrefix="0" xfId="0"/>
    <xf numFmtId="0" fontId="0" fillId="0" borderId="1" pivotButton="0" quotePrefix="0" xfId="0"/>
    <xf numFmtId="0" fontId="0" fillId="8" borderId="1" pivotButton="0" quotePrefix="0" xfId="0"/>
    <xf numFmtId="0" fontId="0" fillId="6" borderId="1" pivotButton="0" quotePrefix="0" xfId="0"/>
    <xf numFmtId="0" fontId="0" fillId="9" borderId="1" pivotButton="0" quotePrefix="0" xfId="0"/>
    <xf numFmtId="0" fontId="0" fillId="5" borderId="1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30" customHeight="1">
      <c r="A1" s="1" t="inlineStr">
        <is>
          <t>DBMS MASTERY  —  SEBI IT / RBI / GATE / Interview  —  Master Syllabus &amp; Tracker</t>
        </is>
      </c>
    </row>
    <row r="3" ht="28" customHeight="1">
      <c r="A3" s="2" t="inlineStr"/>
      <c r="B3" s="3" t="inlineStr"/>
    </row>
    <row r="4" ht="54" customHeight="1">
      <c r="A4" s="2" t="inlineStr">
        <is>
          <t>PURPOSE</t>
        </is>
      </c>
      <c r="B4" s="3" t="inlineStr">
        <is>
          <t>One-time, life-long DBMS notes built from first principles. Every topic taught classroom-style: intuition first, then theory, internals, diagrams, dry runs, exam PYQs, interview Qs. Optimised for SEBI Grade A (IT) + RBI + GATE CS + backend engineering.</t>
        </is>
      </c>
    </row>
    <row r="5" ht="54" customHeight="1">
      <c r="A5" s="2" t="inlineStr">
        <is>
          <t>PRIMARY TARGET</t>
        </is>
      </c>
      <c r="B5" s="3" t="inlineStr">
        <is>
          <t>SEBI Grade A — Information Technology stream. DBMS is one of the HEAVIEST scoring sections. Focus areas (from PYQ analysis): ER model, Normalization (FDs, normal forms, BCNF), SQL, Keys &amp; constraints, Transactions/ACID, Concurrency control, Indexing, Relational algebra.</t>
        </is>
      </c>
    </row>
    <row r="6" ht="93" customHeight="1">
      <c r="A6" s="2" t="inlineStr">
        <is>
          <t>HOW TO USE</t>
        </is>
      </c>
      <c r="B6" s="3" t="inlineStr">
        <is>
          <t>1) Open '01 Master Syllabus' — learn module by module in order.
2) Set Status dropdown (Not Started / In Progress / Revised / Mastered) per topic.
3) Read the matching .docx in DBMS\Notes\.
4) Track PYQ topics in '05 Exam Mapping'. Use '06 Progress Dashboard' to see % done.</t>
        </is>
      </c>
    </row>
    <row r="7" ht="41" customHeight="1">
      <c r="A7" s="2" t="inlineStr">
        <is>
          <t>FILE FORMAT</t>
        </is>
      </c>
      <c r="B7" s="3" t="inlineStr">
        <is>
          <t>Each module = one rich .docx (with diagrams, flowcharts, dry runs, MCQs). Markdown source kept in Notes\_source_markdown\. Images in Notes\images\.</t>
        </is>
      </c>
    </row>
    <row r="8" ht="28" customHeight="1">
      <c r="A8" s="2" t="inlineStr">
        <is>
          <t>STATUS LEGEND</t>
        </is>
      </c>
      <c r="B8" s="3" t="inlineStr">
        <is>
          <t>Not Started  |  In Progress  |  Revised  |  Mastered</t>
        </is>
      </c>
    </row>
    <row r="9" ht="28" customHeight="1">
      <c r="A9" s="2" t="inlineStr">
        <is>
          <t>PRIORITY LEGEND</t>
        </is>
      </c>
      <c r="B9" s="3" t="inlineStr">
        <is>
          <t>P0 = must-know / very high frequency.  P1 = important.  P2 = good to know.</t>
        </is>
      </c>
    </row>
    <row r="10" ht="28" customHeight="1">
      <c r="A10" s="2" t="inlineStr">
        <is>
          <t>IMPORTANCE SCORES</t>
        </is>
      </c>
      <c r="B10" s="3" t="inlineStr">
        <is>
          <t>Each module in the syllabus has 1-5 star ratings for: SEBI, RBI, GATE, Interview, Backend (see the docx + syllabus notes).</t>
        </is>
      </c>
    </row>
    <row r="11" ht="28" customHeight="1">
      <c r="A11" s="2" t="inlineStr">
        <is>
          <t>AUTHOR</t>
        </is>
      </c>
      <c r="B11" s="3" t="inlineStr">
        <is>
          <t>Prepared for nidhi.sharma@forensiccybertech.com</t>
        </is>
      </c>
    </row>
    <row r="12" ht="28" customHeight="1">
      <c r="A12" s="2" t="inlineStr">
        <is>
          <t>DATE</t>
        </is>
      </c>
      <c r="B12" s="3" t="inlineStr">
        <is>
          <t>2026</t>
        </is>
      </c>
    </row>
  </sheetData>
  <mergeCells count="11">
    <mergeCell ref="B4:F4"/>
    <mergeCell ref="B12:F12"/>
    <mergeCell ref="B7:F7"/>
    <mergeCell ref="B6:F6"/>
    <mergeCell ref="B10:F10"/>
    <mergeCell ref="A1:F1"/>
    <mergeCell ref="B11:F11"/>
    <mergeCell ref="B3:F3"/>
    <mergeCell ref="B5:F5"/>
    <mergeCell ref="B8:F8"/>
    <mergeCell ref="B9:F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24" customWidth="1" min="2" max="2"/>
    <col width="46" customWidth="1" min="3" max="3"/>
    <col width="9" customWidth="1" min="4" max="4"/>
    <col width="30" customWidth="1" min="5" max="5"/>
    <col width="11" customWidth="1" min="6" max="6"/>
    <col width="13" customWidth="1" min="7" max="7"/>
    <col width="13" customWidth="1" min="8" max="8"/>
    <col width="34" customWidth="1" min="9" max="9"/>
  </cols>
  <sheetData>
    <row r="1" ht="30" customHeight="1">
      <c r="A1" s="1" t="inlineStr">
        <is>
          <t>MASTER SYLLABUS — in Learning Order (11 Modules) | SEBI★ RBI★ GATE★ Int★</t>
        </is>
      </c>
    </row>
    <row r="2" ht="26" customHeight="1">
      <c r="A2" s="4" t="inlineStr">
        <is>
          <t>Module</t>
        </is>
      </c>
      <c r="B2" s="4" t="inlineStr">
        <is>
          <t>Topic</t>
        </is>
      </c>
      <c r="C2" s="4" t="inlineStr">
        <is>
          <t>Subtopics</t>
        </is>
      </c>
      <c r="D2" s="4" t="inlineStr">
        <is>
          <t>Priority</t>
        </is>
      </c>
      <c r="E2" s="4" t="inlineStr">
        <is>
          <t>SEBI / RBI / GATE / Int / Backend</t>
        </is>
      </c>
      <c r="F2" s="4" t="inlineStr">
        <is>
          <t>Difficulty</t>
        </is>
      </c>
      <c r="G2" s="4" t="inlineStr">
        <is>
          <t>Status</t>
        </is>
      </c>
      <c r="H2" s="4" t="inlineStr">
        <is>
          <t>Last Revised</t>
        </is>
      </c>
      <c r="I2" s="4" t="inlineStr">
        <is>
          <t>Notes File</t>
        </is>
      </c>
    </row>
    <row r="3" ht="120" customHeight="1">
      <c r="A3" s="5" t="inlineStr">
        <is>
          <t>M1 Introduction &amp; Architecture</t>
        </is>
      </c>
      <c r="B3" s="6" t="inlineStr">
        <is>
          <t>Foundations of database systems</t>
        </is>
      </c>
      <c r="C3" s="6" t="inlineStr">
        <is>
          <t>• File system vs DBMS, why DBMS
• Data abstraction (physical/logical/view)
• Schema vs instance, 3-schema architecture (ANSI-SPARC)
• Data independence (logical &amp; physical)
• DB languages (DDL/DML/DCL/TCL)
• DBMS components &amp; overall structure
• Users &amp; DBA roles
• Data models overview</t>
        </is>
      </c>
      <c r="D3" s="7" t="inlineStr">
        <is>
          <t>P0</t>
        </is>
      </c>
      <c r="E3" s="6" t="inlineStr">
        <is>
          <t>SEBI★★★★★ RBI★★★★ GATE★★★ Int★★★ BE★★★</t>
        </is>
      </c>
      <c r="F3" s="5" t="inlineStr">
        <is>
          <t>Easy</t>
        </is>
      </c>
      <c r="G3" s="5" t="inlineStr">
        <is>
          <t>Revised</t>
        </is>
      </c>
      <c r="H3" s="5" t="inlineStr"/>
      <c r="I3" s="5" t="inlineStr">
        <is>
          <t>M01_Introduction_Architecture.docx</t>
        </is>
      </c>
    </row>
    <row r="4" ht="120" customHeight="1">
      <c r="A4" s="8" t="inlineStr">
        <is>
          <t>M2 ER &amp; EER Model</t>
        </is>
      </c>
      <c r="B4" s="9" t="inlineStr">
        <is>
          <t>Conceptual database design</t>
        </is>
      </c>
      <c r="C4" s="9" t="inlineStr">
        <is>
          <t>• Entities, attributes (types), keys
• Relationships, degree, cardinality, participation
• Weak entities
• ER diagram notation
• EER: specialization/generalization, aggregation, inheritance
• ER → relational mapping rules</t>
        </is>
      </c>
      <c r="D4" s="7" t="inlineStr">
        <is>
          <t>P0</t>
        </is>
      </c>
      <c r="E4" s="9" t="inlineStr">
        <is>
          <t>SEBI★★★★★ RBI★★★★ GATE★★★★ Int★★★ BE★★★</t>
        </is>
      </c>
      <c r="F4" s="8" t="inlineStr">
        <is>
          <t>Easy-Med</t>
        </is>
      </c>
      <c r="G4" s="8" t="inlineStr">
        <is>
          <t>Revised</t>
        </is>
      </c>
      <c r="H4" s="8" t="inlineStr"/>
      <c r="I4" s="8" t="inlineStr">
        <is>
          <t>M02_ER_EER_Model.docx</t>
        </is>
      </c>
    </row>
    <row r="5" ht="120" customHeight="1">
      <c r="A5" s="5" t="inlineStr">
        <is>
          <t>M3 Relational Model &amp; Algebra</t>
        </is>
      </c>
      <c r="B5" s="6" t="inlineStr">
        <is>
          <t>The mathematical core</t>
        </is>
      </c>
      <c r="C5" s="6" t="inlineStr">
        <is>
          <t>• Relations, tuples, domains, attributes
• Keys: super/candidate/primary/foreign/composite
• Integrity constraints (entity, referential)
• Relational ALGEBRA (σ π ⋈ ∪ ∩ − × ÷ ρ)
• Relational CALCULUS (TRC, DRC)
• Expressive power / equivalence</t>
        </is>
      </c>
      <c r="D5" s="7" t="inlineStr">
        <is>
          <t>P0</t>
        </is>
      </c>
      <c r="E5" s="6" t="inlineStr">
        <is>
          <t>SEBI★★★★★ RBI★★★★ GATE★★★★★ Int★★★ BE★★★</t>
        </is>
      </c>
      <c r="F5" s="5" t="inlineStr">
        <is>
          <t>Medium</t>
        </is>
      </c>
      <c r="G5" s="5" t="inlineStr">
        <is>
          <t>Revised</t>
        </is>
      </c>
      <c r="H5" s="5" t="inlineStr"/>
      <c r="I5" s="5" t="inlineStr">
        <is>
          <t>M03_Relational_Model_Algebra.docx</t>
        </is>
      </c>
    </row>
    <row r="6" ht="120" customHeight="1">
      <c r="A6" s="8" t="inlineStr">
        <is>
          <t>M4 SQL</t>
        </is>
      </c>
      <c r="B6" s="9" t="inlineStr">
        <is>
          <t>The practical language</t>
        </is>
      </c>
      <c r="C6" s="9" t="inlineStr">
        <is>
          <t>• DDL/DML/DCL/TCL
• SELECT, WHERE, ORDER BY, DISTINCT
• Joins (inner/outer/self/cross)
• Aggregates, GROUP BY, HAVING
• Subqueries (correlated/nested), EXISTS/IN
• Set ops, NULL handling, CASE
• Views, indexes, constraints
• Triggers, stored procedures, cursors</t>
        </is>
      </c>
      <c r="D6" s="7" t="inlineStr">
        <is>
          <t>P0</t>
        </is>
      </c>
      <c r="E6" s="9" t="inlineStr">
        <is>
          <t>SEBI★★★★★ RBI★★★★★ GATE★★★★ Int★★★★★ BE★★★★★</t>
        </is>
      </c>
      <c r="F6" s="8" t="inlineStr">
        <is>
          <t>Medium</t>
        </is>
      </c>
      <c r="G6" s="8" t="inlineStr">
        <is>
          <t>Revised</t>
        </is>
      </c>
      <c r="H6" s="8" t="inlineStr"/>
      <c r="I6" s="8" t="inlineStr">
        <is>
          <t>M04_SQL.docx</t>
        </is>
      </c>
    </row>
    <row r="7" ht="120" customHeight="1">
      <c r="A7" s="5" t="inlineStr">
        <is>
          <t>M5 Normalization &amp; FDs</t>
        </is>
      </c>
      <c r="B7" s="6" t="inlineStr">
        <is>
          <t>Schema design &amp; anomalies</t>
        </is>
      </c>
      <c r="C7" s="6" t="inlineStr">
        <is>
          <t>• Functional dependencies (FD)
• Armstrong's axioms, closure (attr &amp; FD)
• Candidate keys from FDs
• Canonical/minimal cover
• Anomalies (insert/update/delete)
• 1NF, 2NF, 3NF, BCNF, 4NF (MVD), 5NF
• Lossless join &amp; dependency preservation
• Decomposition algorithms</t>
        </is>
      </c>
      <c r="D7" s="7" t="inlineStr">
        <is>
          <t>P0</t>
        </is>
      </c>
      <c r="E7" s="6" t="inlineStr">
        <is>
          <t>SEBI★★★★★ RBI★★★★ GATE★★★★★ Int★★★★ BE★★★</t>
        </is>
      </c>
      <c r="F7" s="5" t="inlineStr">
        <is>
          <t>Med-Hard</t>
        </is>
      </c>
      <c r="G7" s="5" t="inlineStr">
        <is>
          <t>Revised</t>
        </is>
      </c>
      <c r="H7" s="5" t="inlineStr"/>
      <c r="I7" s="5" t="inlineStr">
        <is>
          <t>M05_Normalization_FDs.docx</t>
        </is>
      </c>
    </row>
    <row r="8" ht="120" customHeight="1">
      <c r="A8" s="8" t="inlineStr">
        <is>
          <t>M6 Storage &amp; File Organization</t>
        </is>
      </c>
      <c r="B8" s="9" t="inlineStr">
        <is>
          <t>How data sits on disk</t>
        </is>
      </c>
      <c r="C8" s="9" t="inlineStr">
        <is>
          <t>• Memory hierarchy, disk geometry
• RAID levels (0-6)
• Records &amp; blocking factor
• File org: heap, sequential, hashed, clustered
• Buffer manager &amp; replacement policies
• Spanned vs unspanned</t>
        </is>
      </c>
      <c r="D8" s="10" t="inlineStr">
        <is>
          <t>P1</t>
        </is>
      </c>
      <c r="E8" s="9" t="inlineStr">
        <is>
          <t>SEBI★★★ RBI★★★ GATE★★★★ Int★★ BE★★★</t>
        </is>
      </c>
      <c r="F8" s="8" t="inlineStr">
        <is>
          <t>Medium</t>
        </is>
      </c>
      <c r="G8" s="8" t="inlineStr">
        <is>
          <t>Revised</t>
        </is>
      </c>
      <c r="H8" s="8" t="inlineStr"/>
      <c r="I8" s="8" t="inlineStr">
        <is>
          <t>M06_Storage_File_Organization.docx</t>
        </is>
      </c>
    </row>
    <row r="9" ht="120" customHeight="1">
      <c r="A9" s="5" t="inlineStr">
        <is>
          <t>M7 Indexing &amp; Hashing</t>
        </is>
      </c>
      <c r="B9" s="6" t="inlineStr">
        <is>
          <t>Making queries fast</t>
        </is>
      </c>
      <c r="C9" s="6" t="inlineStr">
        <is>
          <t>• Ordered indexes: primary/clustered/secondary
• Dense vs sparse, multilevel
• B-Tree vs B+ Tree (insert/delete/search)
• Order, fan-out, height calculation
• Static hashing, overflow
• Dynamic: extendible &amp; linear hashing
• Bitmap indexes</t>
        </is>
      </c>
      <c r="D9" s="7" t="inlineStr">
        <is>
          <t>P0</t>
        </is>
      </c>
      <c r="E9" s="6" t="inlineStr">
        <is>
          <t>SEBI★★★★ RBI★★★★ GATE★★★★★ Int★★★ BE★★★★</t>
        </is>
      </c>
      <c r="F9" s="5" t="inlineStr">
        <is>
          <t>Med-Hard</t>
        </is>
      </c>
      <c r="G9" s="5" t="inlineStr">
        <is>
          <t>Revised</t>
        </is>
      </c>
      <c r="H9" s="5" t="inlineStr"/>
      <c r="I9" s="5" t="inlineStr">
        <is>
          <t>M07_Indexing_Hashing.docx</t>
        </is>
      </c>
    </row>
    <row r="10" ht="120" customHeight="1">
      <c r="A10" s="8" t="inlineStr">
        <is>
          <t>M8 Query Processing &amp; Optimization</t>
        </is>
      </c>
      <c r="B10" s="9" t="inlineStr">
        <is>
          <t>From SQL to execution</t>
        </is>
      </c>
      <c r="C10" s="9" t="inlineStr">
        <is>
          <t>• Parsing &amp; translation to algebra
• Measures of cost
• Selection &amp; sorting algorithms
• Join algorithms (nested/block/index/merge/hash)
• Evaluation of expressions (materialize/pipeline)
• Heuristic &amp; cost-based optimization
• Equivalence rules</t>
        </is>
      </c>
      <c r="D10" s="10" t="inlineStr">
        <is>
          <t>P1</t>
        </is>
      </c>
      <c r="E10" s="9" t="inlineStr">
        <is>
          <t>SEBI★★★ RBI★★★ GATE★★★★ Int★★★ BE★★★★</t>
        </is>
      </c>
      <c r="F10" s="8" t="inlineStr">
        <is>
          <t>Hard</t>
        </is>
      </c>
      <c r="G10" s="8" t="inlineStr">
        <is>
          <t>Revised</t>
        </is>
      </c>
      <c r="H10" s="8" t="inlineStr"/>
      <c r="I10" s="8" t="inlineStr">
        <is>
          <t>M08_Query_Processing_Optimization.docx</t>
        </is>
      </c>
    </row>
    <row r="11" ht="120" customHeight="1">
      <c r="A11" s="5" t="inlineStr">
        <is>
          <t>M9 Transactions &amp; Concurrency</t>
        </is>
      </c>
      <c r="B11" s="6" t="inlineStr">
        <is>
          <t>Correctness with many users</t>
        </is>
      </c>
      <c r="C11" s="6" t="inlineStr">
        <is>
          <t>• Transaction concept &amp; states
• ACID properties
• Schedules: serial/serializable
• Conflict &amp; view serializability
• Precedence graph
• Concurrency: 2PL (basic/strict/rigorous)
• Deadlocks (prevention/detection)
• Timestamp ordering, Thomas write rule
• MVCC, isolation levels, anomalies</t>
        </is>
      </c>
      <c r="D11" s="7" t="inlineStr">
        <is>
          <t>P0</t>
        </is>
      </c>
      <c r="E11" s="6" t="inlineStr">
        <is>
          <t>SEBI★★★★★ RBI★★★★ GATE★★★★★ Int★★★★ BE★★★★</t>
        </is>
      </c>
      <c r="F11" s="5" t="inlineStr">
        <is>
          <t>Hard</t>
        </is>
      </c>
      <c r="G11" s="5" t="inlineStr">
        <is>
          <t>Revised</t>
        </is>
      </c>
      <c r="H11" s="5" t="inlineStr"/>
      <c r="I11" s="5" t="inlineStr">
        <is>
          <t>M09_Transactions_Concurrency.docx</t>
        </is>
      </c>
    </row>
    <row r="12" ht="120" customHeight="1">
      <c r="A12" s="8" t="inlineStr">
        <is>
          <t>M10 Recovery</t>
        </is>
      </c>
      <c r="B12" s="9" t="inlineStr">
        <is>
          <t>Surviving crashes</t>
        </is>
      </c>
      <c r="C12" s="9" t="inlineStr">
        <is>
          <t>• Failure classification
• Log-based recovery (deferred/immediate)
• Undo/redo, checkpoints
• Shadow paging
• ARIES (WAL, analysis/redo/undo)
• Buffer &amp; log management</t>
        </is>
      </c>
      <c r="D12" s="10" t="inlineStr">
        <is>
          <t>P1</t>
        </is>
      </c>
      <c r="E12" s="9" t="inlineStr">
        <is>
          <t>SEBI★★★ RBI★★★ GATE★★★★ Int★★ BE★★★</t>
        </is>
      </c>
      <c r="F12" s="8" t="inlineStr">
        <is>
          <t>Hard</t>
        </is>
      </c>
      <c r="G12" s="8" t="inlineStr">
        <is>
          <t>Revised</t>
        </is>
      </c>
      <c r="H12" s="8" t="inlineStr"/>
      <c r="I12" s="8" t="inlineStr">
        <is>
          <t>M10_Recovery.docx</t>
        </is>
      </c>
    </row>
    <row r="13" ht="120" customHeight="1">
      <c r="A13" s="5" t="inlineStr">
        <is>
          <t>M11 NoSQL / Distributed / Warehousing</t>
        </is>
      </c>
      <c r="B13" s="6" t="inlineStr">
        <is>
          <t>Modern &amp; at-scale data</t>
        </is>
      </c>
      <c r="C13" s="6" t="inlineStr">
        <is>
          <t>• OLTP vs OLAP, data warehouse, star/snowflake
• ETL, materialized views
• Distributed DB: fragmentation, replication
• CAP theorem, BASE
• NoSQL types (KV/doc/column/graph)
• Sharding, partitioning</t>
        </is>
      </c>
      <c r="D13" s="11" t="inlineStr">
        <is>
          <t>P2</t>
        </is>
      </c>
      <c r="E13" s="6" t="inlineStr">
        <is>
          <t>SEBI★★★ RBI★★★ GATE★★ Int★★★ BE★★★★</t>
        </is>
      </c>
      <c r="F13" s="5" t="inlineStr">
        <is>
          <t>Medium</t>
        </is>
      </c>
      <c r="G13" s="5" t="inlineStr">
        <is>
          <t>Revised</t>
        </is>
      </c>
      <c r="H13" s="5" t="inlineStr"/>
      <c r="I13" s="5" t="inlineStr">
        <is>
          <t>M11_NoSQL_Distributed_Warehousing.docx</t>
        </is>
      </c>
    </row>
  </sheetData>
  <mergeCells count="1">
    <mergeCell ref="A1:I1"/>
  </mergeCells>
  <dataValidations count="1">
    <dataValidation sqref="G3:G13" showDropDown="0" showInputMessage="0" showErrorMessage="0" allowBlank="1" type="list">
      <formula1>"Not Started,In Progress,Revised,Mastered"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4" customWidth="1" min="3" max="3"/>
    <col width="38" customWidth="1" min="4" max="4"/>
    <col width="14" customWidth="1" min="5" max="5"/>
  </cols>
  <sheetData>
    <row r="1" ht="30" customHeight="1">
      <c r="A1" s="1" t="inlineStr">
        <is>
          <t>8-WEEK STUDY PLAN  —  ~2 hrs/day (adjust to your timeline)</t>
        </is>
      </c>
    </row>
    <row r="2" ht="26" customHeight="1">
      <c r="A2" s="4" t="inlineStr">
        <is>
          <t>Week</t>
        </is>
      </c>
      <c r="B2" s="4" t="inlineStr">
        <is>
          <t>Focus</t>
        </is>
      </c>
      <c r="C2" s="4" t="inlineStr">
        <is>
          <t>Modules</t>
        </is>
      </c>
      <c r="D2" s="4" t="inlineStr">
        <is>
          <t>Key Deliverable</t>
        </is>
      </c>
      <c r="E2" s="4" t="inlineStr">
        <is>
          <t>Status</t>
        </is>
      </c>
    </row>
    <row r="3" ht="24" customHeight="1">
      <c r="A3" s="5" t="n">
        <v>1</v>
      </c>
      <c r="B3" s="6" t="inlineStr">
        <is>
          <t>Foundations + ER design</t>
        </is>
      </c>
      <c r="C3" s="6" t="inlineStr">
        <is>
          <t>M1, M2</t>
        </is>
      </c>
      <c r="D3" s="6" t="inlineStr">
        <is>
          <t>Draw 5 ER diagrams + map to tables</t>
        </is>
      </c>
      <c r="E3" s="5" t="inlineStr">
        <is>
          <t>Not Started</t>
        </is>
      </c>
    </row>
    <row r="4" ht="24" customHeight="1">
      <c r="A4" s="8" t="n">
        <v>2</v>
      </c>
      <c r="B4" s="9" t="inlineStr">
        <is>
          <t>Relational model + Algebra</t>
        </is>
      </c>
      <c r="C4" s="9" t="inlineStr">
        <is>
          <t>M3</t>
        </is>
      </c>
      <c r="D4" s="9" t="inlineStr">
        <is>
          <t>Solve 30 relational algebra queries</t>
        </is>
      </c>
      <c r="E4" s="8" t="inlineStr">
        <is>
          <t>Not Started</t>
        </is>
      </c>
    </row>
    <row r="5" ht="24" customHeight="1">
      <c r="A5" s="5" t="n">
        <v>3</v>
      </c>
      <c r="B5" s="6" t="inlineStr">
        <is>
          <t>SQL deep dive</t>
        </is>
      </c>
      <c r="C5" s="6" t="inlineStr">
        <is>
          <t>M4</t>
        </is>
      </c>
      <c r="D5" s="6" t="inlineStr">
        <is>
          <t>Write 50 SQL queries (joins/subqueries)</t>
        </is>
      </c>
      <c r="E5" s="5" t="inlineStr">
        <is>
          <t>Not Started</t>
        </is>
      </c>
    </row>
    <row r="6" ht="24" customHeight="1">
      <c r="A6" s="8" t="n">
        <v>4</v>
      </c>
      <c r="B6" s="9" t="inlineStr">
        <is>
          <t>Normalization</t>
        </is>
      </c>
      <c r="C6" s="9" t="inlineStr">
        <is>
          <t>M5</t>
        </is>
      </c>
      <c r="D6" s="9" t="inlineStr">
        <is>
          <t>Normalize 10 schemas to BCNF, find keys</t>
        </is>
      </c>
      <c r="E6" s="8" t="inlineStr">
        <is>
          <t>Not Started</t>
        </is>
      </c>
    </row>
    <row r="7" ht="24" customHeight="1">
      <c r="A7" s="5" t="n">
        <v>5</v>
      </c>
      <c r="B7" s="6" t="inlineStr">
        <is>
          <t>Storage + Indexing</t>
        </is>
      </c>
      <c r="C7" s="6" t="inlineStr">
        <is>
          <t>M6, M7</t>
        </is>
      </c>
      <c r="D7" s="6" t="inlineStr">
        <is>
          <t>Build &amp; query a B+ Tree by hand</t>
        </is>
      </c>
      <c r="E7" s="5" t="inlineStr">
        <is>
          <t>Not Started</t>
        </is>
      </c>
    </row>
    <row r="8" ht="24" customHeight="1">
      <c r="A8" s="8" t="n">
        <v>6</v>
      </c>
      <c r="B8" s="9" t="inlineStr">
        <is>
          <t>Query processing</t>
        </is>
      </c>
      <c r="C8" s="9" t="inlineStr">
        <is>
          <t>M8</t>
        </is>
      </c>
      <c r="D8" s="9" t="inlineStr">
        <is>
          <t>Cost out 10 join plans</t>
        </is>
      </c>
      <c r="E8" s="8" t="inlineStr">
        <is>
          <t>Not Started</t>
        </is>
      </c>
    </row>
    <row r="9" ht="24" customHeight="1">
      <c r="A9" s="5" t="n">
        <v>7</v>
      </c>
      <c r="B9" s="6" t="inlineStr">
        <is>
          <t>Transactions + Concurrency</t>
        </is>
      </c>
      <c r="C9" s="6" t="inlineStr">
        <is>
          <t>M9</t>
        </is>
      </c>
      <c r="D9" s="6" t="inlineStr">
        <is>
          <t>Test 20 schedules for serializability</t>
        </is>
      </c>
      <c r="E9" s="5" t="inlineStr">
        <is>
          <t>Not Started</t>
        </is>
      </c>
    </row>
    <row r="10" ht="24" customHeight="1">
      <c r="A10" s="8" t="n">
        <v>8</v>
      </c>
      <c r="B10" s="9" t="inlineStr">
        <is>
          <t>Recovery + Modern + Revision</t>
        </is>
      </c>
      <c r="C10" s="9" t="inlineStr">
        <is>
          <t>M10, M11</t>
        </is>
      </c>
      <c r="D10" s="9" t="inlineStr">
        <is>
          <t>Full mock test + revision sheets</t>
        </is>
      </c>
      <c r="E10" s="8" t="inlineStr">
        <is>
          <t>Not Started</t>
        </is>
      </c>
    </row>
  </sheetData>
  <mergeCells count="1">
    <mergeCell ref="A1:E1"/>
  </mergeCells>
  <dataValidations count="1">
    <dataValidation sqref="E3:E10" showDropDown="0" showInputMessage="0" showErrorMessage="0" allowBlank="1" type="list">
      <formula1>"Not Started,In Progress,Revised,Mastered"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8" customWidth="1" min="2" max="2"/>
    <col width="10" customWidth="1" min="3" max="3"/>
    <col width="13" customWidth="1" min="4" max="4"/>
    <col width="14" customWidth="1" min="5" max="5"/>
  </cols>
  <sheetData>
    <row r="1" ht="30" customHeight="1">
      <c r="A1" s="1" t="inlineStr">
        <is>
          <t>SEBI GRADE A (IT) — High-Frequency DBMS PYQ TOPICS</t>
        </is>
      </c>
    </row>
    <row r="2" ht="26" customHeight="1">
      <c r="A2" s="4" t="inlineStr">
        <is>
          <t>#</t>
        </is>
      </c>
      <c r="B2" s="4" t="inlineStr">
        <is>
          <t>PYQ Topic / Concept</t>
        </is>
      </c>
      <c r="C2" s="4" t="inlineStr">
        <is>
          <t>Module</t>
        </is>
      </c>
      <c r="D2" s="4" t="inlineStr">
        <is>
          <t>Frequency</t>
        </is>
      </c>
      <c r="E2" s="4" t="inlineStr">
        <is>
          <t>Status</t>
        </is>
      </c>
    </row>
    <row r="3" ht="22" customHeight="1">
      <c r="A3" s="5" t="n">
        <v>1</v>
      </c>
      <c r="B3" s="6" t="inlineStr">
        <is>
          <t>Normalization — identify the normal form (1NF/2NF/3NF/BCNF)</t>
        </is>
      </c>
      <c r="C3" s="5" t="inlineStr">
        <is>
          <t>M5</t>
        </is>
      </c>
      <c r="D3" s="12" t="inlineStr">
        <is>
          <t>Very High</t>
        </is>
      </c>
      <c r="E3" s="5" t="inlineStr">
        <is>
          <t>Not Started</t>
        </is>
      </c>
    </row>
    <row r="4" ht="22" customHeight="1">
      <c r="A4" s="8" t="n">
        <v>2</v>
      </c>
      <c r="B4" s="9" t="inlineStr">
        <is>
          <t>Functional dependency — closure, candidate keys</t>
        </is>
      </c>
      <c r="C4" s="8" t="inlineStr">
        <is>
          <t>M5</t>
        </is>
      </c>
      <c r="D4" s="12" t="inlineStr">
        <is>
          <t>Very High</t>
        </is>
      </c>
      <c r="E4" s="8" t="inlineStr">
        <is>
          <t>Not Started</t>
        </is>
      </c>
    </row>
    <row r="5" ht="22" customHeight="1">
      <c r="A5" s="5" t="n">
        <v>3</v>
      </c>
      <c r="B5" s="6" t="inlineStr">
        <is>
          <t>Keys: super/candidate/primary/foreign — definitions &amp; differences</t>
        </is>
      </c>
      <c r="C5" s="5" t="inlineStr">
        <is>
          <t>M3</t>
        </is>
      </c>
      <c r="D5" s="12" t="inlineStr">
        <is>
          <t>Very High</t>
        </is>
      </c>
      <c r="E5" s="5" t="inlineStr">
        <is>
          <t>Not Started</t>
        </is>
      </c>
    </row>
    <row r="6" ht="22" customHeight="1">
      <c r="A6" s="8" t="n">
        <v>4</v>
      </c>
      <c r="B6" s="9" t="inlineStr">
        <is>
          <t>ACID properties — meaning of each</t>
        </is>
      </c>
      <c r="C6" s="8" t="inlineStr">
        <is>
          <t>M9</t>
        </is>
      </c>
      <c r="D6" s="12" t="inlineStr">
        <is>
          <t>Very High</t>
        </is>
      </c>
      <c r="E6" s="8" t="inlineStr">
        <is>
          <t>Not Started</t>
        </is>
      </c>
    </row>
    <row r="7" ht="22" customHeight="1">
      <c r="A7" s="5" t="n">
        <v>5</v>
      </c>
      <c r="B7" s="6" t="inlineStr">
        <is>
          <t>ER model — cardinality, weak entity, participation</t>
        </is>
      </c>
      <c r="C7" s="5" t="inlineStr">
        <is>
          <t>M2</t>
        </is>
      </c>
      <c r="D7" s="13" t="inlineStr">
        <is>
          <t>High</t>
        </is>
      </c>
      <c r="E7" s="5" t="inlineStr">
        <is>
          <t>Not Started</t>
        </is>
      </c>
    </row>
    <row r="8" ht="22" customHeight="1">
      <c r="A8" s="8" t="n">
        <v>6</v>
      </c>
      <c r="B8" s="9" t="inlineStr">
        <is>
          <t>Relational algebra operators — symbols &amp; output</t>
        </is>
      </c>
      <c r="C8" s="8" t="inlineStr">
        <is>
          <t>M3</t>
        </is>
      </c>
      <c r="D8" s="13" t="inlineStr">
        <is>
          <t>High</t>
        </is>
      </c>
      <c r="E8" s="8" t="inlineStr">
        <is>
          <t>Not Started</t>
        </is>
      </c>
    </row>
    <row r="9" ht="22" customHeight="1">
      <c r="A9" s="5" t="n">
        <v>7</v>
      </c>
      <c r="B9" s="6" t="inlineStr">
        <is>
          <t>SQL output prediction / correct query</t>
        </is>
      </c>
      <c r="C9" s="5" t="inlineStr">
        <is>
          <t>M4</t>
        </is>
      </c>
      <c r="D9" s="13" t="inlineStr">
        <is>
          <t>High</t>
        </is>
      </c>
      <c r="E9" s="5" t="inlineStr">
        <is>
          <t>Not Started</t>
        </is>
      </c>
    </row>
    <row r="10" ht="22" customHeight="1">
      <c r="A10" s="8" t="n">
        <v>8</v>
      </c>
      <c r="B10" s="9" t="inlineStr">
        <is>
          <t>Joins — types &amp; results (inner/outer/natural)</t>
        </is>
      </c>
      <c r="C10" s="8" t="inlineStr">
        <is>
          <t>M4</t>
        </is>
      </c>
      <c r="D10" s="13" t="inlineStr">
        <is>
          <t>High</t>
        </is>
      </c>
      <c r="E10" s="8" t="inlineStr">
        <is>
          <t>Not Started</t>
        </is>
      </c>
    </row>
    <row r="11" ht="22" customHeight="1">
      <c r="A11" s="5" t="n">
        <v>9</v>
      </c>
      <c r="B11" s="6" t="inlineStr">
        <is>
          <t>Serializability — conflict serializable schedule</t>
        </is>
      </c>
      <c r="C11" s="5" t="inlineStr">
        <is>
          <t>M9</t>
        </is>
      </c>
      <c r="D11" s="13" t="inlineStr">
        <is>
          <t>High</t>
        </is>
      </c>
      <c r="E11" s="5" t="inlineStr">
        <is>
          <t>Not Started</t>
        </is>
      </c>
    </row>
    <row r="12" ht="22" customHeight="1">
      <c r="A12" s="8" t="n">
        <v>10</v>
      </c>
      <c r="B12" s="9" t="inlineStr">
        <is>
          <t>Locking — 2PL, deadlock</t>
        </is>
      </c>
      <c r="C12" s="8" t="inlineStr">
        <is>
          <t>M9</t>
        </is>
      </c>
      <c r="D12" s="13" t="inlineStr">
        <is>
          <t>High</t>
        </is>
      </c>
      <c r="E12" s="8" t="inlineStr">
        <is>
          <t>Not Started</t>
        </is>
      </c>
    </row>
    <row r="13" ht="22" customHeight="1">
      <c r="A13" s="5" t="n">
        <v>11</v>
      </c>
      <c r="B13" s="6" t="inlineStr">
        <is>
          <t>Indexing — B-Tree vs B+ Tree, dense/sparse</t>
        </is>
      </c>
      <c r="C13" s="5" t="inlineStr">
        <is>
          <t>M7</t>
        </is>
      </c>
      <c r="D13" s="13" t="inlineStr">
        <is>
          <t>High</t>
        </is>
      </c>
      <c r="E13" s="5" t="inlineStr">
        <is>
          <t>Not Started</t>
        </is>
      </c>
    </row>
    <row r="14" ht="22" customHeight="1">
      <c r="A14" s="8" t="n">
        <v>12</v>
      </c>
      <c r="B14" s="9" t="inlineStr">
        <is>
          <t>Data independence (logical vs physical)</t>
        </is>
      </c>
      <c r="C14" s="8" t="inlineStr">
        <is>
          <t>M1</t>
        </is>
      </c>
      <c r="D14" s="14" t="inlineStr">
        <is>
          <t>Medium</t>
        </is>
      </c>
      <c r="E14" s="8" t="inlineStr">
        <is>
          <t>Not Started</t>
        </is>
      </c>
    </row>
    <row r="15" ht="22" customHeight="1">
      <c r="A15" s="5" t="n">
        <v>13</v>
      </c>
      <c r="B15" s="6" t="inlineStr">
        <is>
          <t>3-schema architecture (ANSI-SPARC)</t>
        </is>
      </c>
      <c r="C15" s="5" t="inlineStr">
        <is>
          <t>M1</t>
        </is>
      </c>
      <c r="D15" s="14" t="inlineStr">
        <is>
          <t>Medium</t>
        </is>
      </c>
      <c r="E15" s="5" t="inlineStr">
        <is>
          <t>Not Started</t>
        </is>
      </c>
    </row>
    <row r="16" ht="22" customHeight="1">
      <c r="A16" s="8" t="n">
        <v>14</v>
      </c>
      <c r="B16" s="9" t="inlineStr">
        <is>
          <t>Aggregate functions / GROUP BY / HAVING</t>
        </is>
      </c>
      <c r="C16" s="8" t="inlineStr">
        <is>
          <t>M4</t>
        </is>
      </c>
      <c r="D16" s="14" t="inlineStr">
        <is>
          <t>Medium</t>
        </is>
      </c>
      <c r="E16" s="8" t="inlineStr">
        <is>
          <t>Not Started</t>
        </is>
      </c>
    </row>
    <row r="17" ht="22" customHeight="1">
      <c r="A17" s="5" t="n">
        <v>15</v>
      </c>
      <c r="B17" s="6" t="inlineStr">
        <is>
          <t>Constraints (PK/FK/UNIQUE/CHECK/NOT NULL)</t>
        </is>
      </c>
      <c r="C17" s="5" t="inlineStr">
        <is>
          <t>M3/M4</t>
        </is>
      </c>
      <c r="D17" s="14" t="inlineStr">
        <is>
          <t>Medium</t>
        </is>
      </c>
      <c r="E17" s="5" t="inlineStr">
        <is>
          <t>Not Started</t>
        </is>
      </c>
    </row>
    <row r="18" ht="22" customHeight="1">
      <c r="A18" s="8" t="n">
        <v>16</v>
      </c>
      <c r="B18" s="9" t="inlineStr">
        <is>
          <t>DBMS vs RDBMS, Codd's 12 rules</t>
        </is>
      </c>
      <c r="C18" s="8" t="inlineStr">
        <is>
          <t>M1/M3</t>
        </is>
      </c>
      <c r="D18" s="14" t="inlineStr">
        <is>
          <t>Medium</t>
        </is>
      </c>
      <c r="E18" s="8" t="inlineStr">
        <is>
          <t>Not Started</t>
        </is>
      </c>
    </row>
    <row r="19" ht="22" customHeight="1">
      <c r="A19" s="5" t="n">
        <v>17</v>
      </c>
      <c r="B19" s="6" t="inlineStr">
        <is>
          <t>Transaction states / schedule types</t>
        </is>
      </c>
      <c r="C19" s="5" t="inlineStr">
        <is>
          <t>M9</t>
        </is>
      </c>
      <c r="D19" s="14" t="inlineStr">
        <is>
          <t>Medium</t>
        </is>
      </c>
      <c r="E19" s="5" t="inlineStr">
        <is>
          <t>Not Started</t>
        </is>
      </c>
    </row>
    <row r="20" ht="22" customHeight="1">
      <c r="A20" s="8" t="n">
        <v>18</v>
      </c>
      <c r="B20" s="9" t="inlineStr">
        <is>
          <t>Lossless join &amp; dependency preservation</t>
        </is>
      </c>
      <c r="C20" s="8" t="inlineStr">
        <is>
          <t>M5</t>
        </is>
      </c>
      <c r="D20" s="14" t="inlineStr">
        <is>
          <t>Medium</t>
        </is>
      </c>
      <c r="E20" s="8" t="inlineStr">
        <is>
          <t>Not Started</t>
        </is>
      </c>
    </row>
    <row r="21" ht="22" customHeight="1">
      <c r="A21" s="5" t="n">
        <v>19</v>
      </c>
      <c r="B21" s="6" t="inlineStr">
        <is>
          <t>Hashing (static/dynamic/extendible)</t>
        </is>
      </c>
      <c r="C21" s="5" t="inlineStr">
        <is>
          <t>M7</t>
        </is>
      </c>
      <c r="D21" s="14" t="inlineStr">
        <is>
          <t>Medium</t>
        </is>
      </c>
      <c r="E21" s="5" t="inlineStr">
        <is>
          <t>Not Started</t>
        </is>
      </c>
    </row>
    <row r="22" ht="22" customHeight="1">
      <c r="A22" s="8" t="n">
        <v>20</v>
      </c>
      <c r="B22" s="9" t="inlineStr">
        <is>
          <t>CAP theorem / NoSQL types</t>
        </is>
      </c>
      <c r="C22" s="8" t="inlineStr">
        <is>
          <t>M11</t>
        </is>
      </c>
      <c r="D22" s="8" t="inlineStr">
        <is>
          <t>Low-Med</t>
        </is>
      </c>
      <c r="E22" s="8" t="inlineStr">
        <is>
          <t>Not Started</t>
        </is>
      </c>
    </row>
  </sheetData>
  <mergeCells count="1">
    <mergeCell ref="A1:E1"/>
  </mergeCells>
  <dataValidations count="1">
    <dataValidation sqref="E3:E22" showDropDown="0" showInputMessage="0" showErrorMessage="0" allowBlank="1" type="list">
      <formula1>"Not Started,In Progress,Revised,Mastered"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26" customWidth="1" min="5" max="5"/>
  </cols>
  <sheetData>
    <row r="1" ht="30" customHeight="1">
      <c r="A1" s="1" t="inlineStr">
        <is>
          <t>EXAM MAPPING — SEBI / RBI / GATE / Other PSU IT</t>
        </is>
      </c>
    </row>
    <row r="2" ht="26" customHeight="1">
      <c r="A2" s="4" t="inlineStr">
        <is>
          <t>Topic Area</t>
        </is>
      </c>
      <c r="B2" s="4" t="inlineStr">
        <is>
          <t>SEBI IT</t>
        </is>
      </c>
      <c r="C2" s="4" t="inlineStr">
        <is>
          <t>RBI IT</t>
        </is>
      </c>
      <c r="D2" s="4" t="inlineStr">
        <is>
          <t>GATE CS</t>
        </is>
      </c>
      <c r="E2" s="4" t="inlineStr">
        <is>
          <t>Other (ISRO/NIELIT/IBPS-SO)</t>
        </is>
      </c>
    </row>
    <row r="3" ht="22" customHeight="1">
      <c r="A3" s="6" t="inlineStr">
        <is>
          <t>Intro / Architecture / Data independence</t>
        </is>
      </c>
      <c r="B3" s="14" t="inlineStr">
        <is>
          <t>Medium</t>
        </is>
      </c>
      <c r="C3" s="14" t="inlineStr">
        <is>
          <t>Medium</t>
        </is>
      </c>
      <c r="D3" s="8" t="inlineStr">
        <is>
          <t>Low-Med</t>
        </is>
      </c>
      <c r="E3" s="14" t="inlineStr">
        <is>
          <t>Medium</t>
        </is>
      </c>
    </row>
    <row r="4" ht="22" customHeight="1">
      <c r="A4" s="9" t="inlineStr">
        <is>
          <t>ER &amp; EER model</t>
        </is>
      </c>
      <c r="B4" s="13" t="inlineStr">
        <is>
          <t>High</t>
        </is>
      </c>
      <c r="C4" s="13" t="inlineStr">
        <is>
          <t>High</t>
        </is>
      </c>
      <c r="D4" s="13" t="inlineStr">
        <is>
          <t>High</t>
        </is>
      </c>
      <c r="E4" s="13" t="inlineStr">
        <is>
          <t>High</t>
        </is>
      </c>
    </row>
    <row r="5" ht="22" customHeight="1">
      <c r="A5" s="6" t="inlineStr">
        <is>
          <t>Relational model &amp; algebra/calculus</t>
        </is>
      </c>
      <c r="B5" s="13" t="inlineStr">
        <is>
          <t>High</t>
        </is>
      </c>
      <c r="C5" s="13" t="inlineStr">
        <is>
          <t>High</t>
        </is>
      </c>
      <c r="D5" s="12" t="inlineStr">
        <is>
          <t>Very High</t>
        </is>
      </c>
      <c r="E5" s="13" t="inlineStr">
        <is>
          <t>High</t>
        </is>
      </c>
    </row>
    <row r="6" ht="22" customHeight="1">
      <c r="A6" s="9" t="inlineStr">
        <is>
          <t>SQL</t>
        </is>
      </c>
      <c r="B6" s="12" t="inlineStr">
        <is>
          <t>Very High</t>
        </is>
      </c>
      <c r="C6" s="12" t="inlineStr">
        <is>
          <t>Very High</t>
        </is>
      </c>
      <c r="D6" s="13" t="inlineStr">
        <is>
          <t>High</t>
        </is>
      </c>
      <c r="E6" s="12" t="inlineStr">
        <is>
          <t>Very High</t>
        </is>
      </c>
    </row>
    <row r="7" ht="22" customHeight="1">
      <c r="A7" s="6" t="inlineStr">
        <is>
          <t>Normalization &amp; FDs</t>
        </is>
      </c>
      <c r="B7" s="12" t="inlineStr">
        <is>
          <t>Very High</t>
        </is>
      </c>
      <c r="C7" s="13" t="inlineStr">
        <is>
          <t>High</t>
        </is>
      </c>
      <c r="D7" s="12" t="inlineStr">
        <is>
          <t>Very High</t>
        </is>
      </c>
      <c r="E7" s="13" t="inlineStr">
        <is>
          <t>High</t>
        </is>
      </c>
    </row>
    <row r="8" ht="22" customHeight="1">
      <c r="A8" s="9" t="inlineStr">
        <is>
          <t>Storage &amp; file organization</t>
        </is>
      </c>
      <c r="B8" s="14" t="inlineStr">
        <is>
          <t>Medium</t>
        </is>
      </c>
      <c r="C8" s="14" t="inlineStr">
        <is>
          <t>Medium</t>
        </is>
      </c>
      <c r="D8" s="13" t="inlineStr">
        <is>
          <t>High</t>
        </is>
      </c>
      <c r="E8" s="14" t="inlineStr">
        <is>
          <t>Medium</t>
        </is>
      </c>
    </row>
    <row r="9" ht="22" customHeight="1">
      <c r="A9" s="6" t="inlineStr">
        <is>
          <t>Indexing &amp; hashing (B/B+ tree)</t>
        </is>
      </c>
      <c r="B9" s="13" t="inlineStr">
        <is>
          <t>High</t>
        </is>
      </c>
      <c r="C9" s="13" t="inlineStr">
        <is>
          <t>High</t>
        </is>
      </c>
      <c r="D9" s="12" t="inlineStr">
        <is>
          <t>Very High</t>
        </is>
      </c>
      <c r="E9" s="13" t="inlineStr">
        <is>
          <t>High</t>
        </is>
      </c>
    </row>
    <row r="10" ht="22" customHeight="1">
      <c r="A10" s="9" t="inlineStr">
        <is>
          <t>Query processing &amp; optimization</t>
        </is>
      </c>
      <c r="B10" s="14" t="inlineStr">
        <is>
          <t>Medium</t>
        </is>
      </c>
      <c r="C10" s="14" t="inlineStr">
        <is>
          <t>Medium</t>
        </is>
      </c>
      <c r="D10" s="13" t="inlineStr">
        <is>
          <t>High</t>
        </is>
      </c>
      <c r="E10" s="14" t="inlineStr">
        <is>
          <t>Medium</t>
        </is>
      </c>
    </row>
    <row r="11" ht="22" customHeight="1">
      <c r="A11" s="6" t="inlineStr">
        <is>
          <t>Transactions &amp; concurrency</t>
        </is>
      </c>
      <c r="B11" s="12" t="inlineStr">
        <is>
          <t>Very High</t>
        </is>
      </c>
      <c r="C11" s="13" t="inlineStr">
        <is>
          <t>High</t>
        </is>
      </c>
      <c r="D11" s="12" t="inlineStr">
        <is>
          <t>Very High</t>
        </is>
      </c>
      <c r="E11" s="13" t="inlineStr">
        <is>
          <t>High</t>
        </is>
      </c>
    </row>
    <row r="12" ht="22" customHeight="1">
      <c r="A12" s="9" t="inlineStr">
        <is>
          <t>Recovery</t>
        </is>
      </c>
      <c r="B12" s="14" t="inlineStr">
        <is>
          <t>Medium</t>
        </is>
      </c>
      <c r="C12" s="14" t="inlineStr">
        <is>
          <t>Medium</t>
        </is>
      </c>
      <c r="D12" s="13" t="inlineStr">
        <is>
          <t>High</t>
        </is>
      </c>
      <c r="E12" s="14" t="inlineStr">
        <is>
          <t>Medium</t>
        </is>
      </c>
    </row>
    <row r="13" ht="22" customHeight="1">
      <c r="A13" s="6" t="inlineStr">
        <is>
          <t>NoSQL / distributed / warehousing</t>
        </is>
      </c>
      <c r="B13" s="14" t="inlineStr">
        <is>
          <t>Medium</t>
        </is>
      </c>
      <c r="C13" s="14" t="inlineStr">
        <is>
          <t>Medium</t>
        </is>
      </c>
      <c r="D13" s="8" t="inlineStr">
        <is>
          <t>Low</t>
        </is>
      </c>
      <c r="E13" s="14" t="inlineStr">
        <is>
          <t>Medium</t>
        </is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46" customWidth="1" min="3" max="3"/>
    <col width="26" customWidth="1" min="4" max="4"/>
  </cols>
  <sheetData>
    <row r="1" ht="30" customHeight="1">
      <c r="A1" s="1" t="inlineStr">
        <is>
          <t>INTERVIEW / BACKEND FOCUS — what gets asked</t>
        </is>
      </c>
    </row>
    <row r="2" ht="26" customHeight="1">
      <c r="A2" s="4" t="inlineStr">
        <is>
          <t>Role</t>
        </is>
      </c>
      <c r="B2" s="4" t="inlineStr">
        <is>
          <t>DBMS Focus</t>
        </is>
      </c>
      <c r="C2" s="4" t="inlineStr">
        <is>
          <t>Must-Know</t>
        </is>
      </c>
      <c r="D2" s="4" t="inlineStr">
        <is>
          <t>Notes</t>
        </is>
      </c>
    </row>
    <row r="3" ht="44" customHeight="1">
      <c r="A3" s="5" t="inlineStr">
        <is>
          <t>Backend SDE</t>
        </is>
      </c>
      <c r="B3" s="6" t="inlineStr">
        <is>
          <t>SQL, indexing, transactions, normalization</t>
        </is>
      </c>
      <c r="C3" s="6" t="inlineStr">
        <is>
          <t>Joins, EXPLAIN plans, ACID, deadlocks, N+1 query problem</t>
        </is>
      </c>
      <c r="D3" s="6" t="inlineStr">
        <is>
          <t>Knows when NOT to normalize</t>
        </is>
      </c>
    </row>
    <row r="4" ht="44" customHeight="1">
      <c r="A4" s="8" t="inlineStr">
        <is>
          <t>Data Engineer</t>
        </is>
      </c>
      <c r="B4" s="9" t="inlineStr">
        <is>
          <t>Warehousing, partitioning, query opt, NoSQL</t>
        </is>
      </c>
      <c r="C4" s="9" t="inlineStr">
        <is>
          <t>OLAP vs OLTP, star schema, sharding, CAP</t>
        </is>
      </c>
      <c r="D4" s="9" t="inlineStr">
        <is>
          <t>ETL + columnar stores</t>
        </is>
      </c>
    </row>
    <row r="5" ht="44" customHeight="1">
      <c r="A5" s="8" t="inlineStr">
        <is>
          <t>GATE/PSU aspirant</t>
        </is>
      </c>
      <c r="B5" s="9" t="inlineStr">
        <is>
          <t>Algebra, normalization, transactions, indexing</t>
        </is>
      </c>
      <c r="C5" s="9" t="inlineStr">
        <is>
          <t>Serializability, BCNF, B+ tree, FD closure</t>
        </is>
      </c>
      <c r="D5" s="9" t="inlineStr">
        <is>
          <t>Numerical + concept</t>
        </is>
      </c>
    </row>
    <row r="6" ht="44" customHeight="1"/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</cols>
  <sheetData>
    <row r="1" ht="30" customHeight="1">
      <c r="A1" s="1" t="inlineStr">
        <is>
          <t>PROGRESS DASHBOARD</t>
        </is>
      </c>
    </row>
    <row r="3">
      <c r="A3" s="15" t="inlineStr">
        <is>
          <t>Module status (from '01 Master Syllabus')</t>
        </is>
      </c>
      <c r="B3" s="16" t="n"/>
    </row>
    <row r="4">
      <c r="A4" s="17" t="inlineStr">
        <is>
          <t>Not Started</t>
        </is>
      </c>
      <c r="B4" s="16">
        <f>COUNTIF('01 Master Syllabus'!G3:G13,"Not Started")</f>
        <v/>
      </c>
    </row>
    <row r="5">
      <c r="A5" s="18" t="inlineStr">
        <is>
          <t>In Progress</t>
        </is>
      </c>
      <c r="B5" s="16">
        <f>COUNTIF('01 Master Syllabus'!G3:G13,"In Progress")</f>
        <v/>
      </c>
    </row>
    <row r="6">
      <c r="A6" s="19" t="inlineStr">
        <is>
          <t>Revised</t>
        </is>
      </c>
      <c r="B6" s="16">
        <f>COUNTIF('01 Master Syllabus'!G3:G13,"Revised")</f>
        <v/>
      </c>
    </row>
    <row r="7">
      <c r="A7" s="20" t="inlineStr">
        <is>
          <t>Mastered</t>
        </is>
      </c>
      <c r="B7" s="16">
        <f>COUNTIF('01 Master Syllabus'!G3:G13,"Mastered")</f>
        <v/>
      </c>
    </row>
    <row r="8">
      <c r="A8" s="21" t="inlineStr">
        <is>
          <t>TOTAL modules</t>
        </is>
      </c>
      <c r="B8" s="21">
        <f>COUNTA('01 Master Syllabus'!A3:A13)</f>
        <v/>
      </c>
    </row>
    <row r="9">
      <c r="A9" s="21" t="inlineStr">
        <is>
          <t>% Mastered</t>
        </is>
      </c>
      <c r="B9" s="21">
        <f>ROUND(COUNTIF('01 Master Syllabus'!G3:G13,"Mastered")/COUNTA('01 Master Syllabus'!A3:A13)*100,1)&amp;"%"</f>
        <v/>
      </c>
    </row>
    <row r="10">
      <c r="A10" s="16" t="n"/>
      <c r="B10" s="16" t="n"/>
    </row>
    <row r="11">
      <c r="A11" s="15" t="inlineStr">
        <is>
          <t>SEBI PYQ topics done</t>
        </is>
      </c>
      <c r="B11" s="16" t="n"/>
    </row>
    <row r="12">
      <c r="A12" s="16" t="inlineStr">
        <is>
          <t>Not Started</t>
        </is>
      </c>
      <c r="B12" s="16">
        <f>COUNTIF('03 SEBI PYQ Topics'!E3:E22,"Not Started")</f>
        <v/>
      </c>
    </row>
    <row r="13">
      <c r="A13" s="16" t="inlineStr">
        <is>
          <t>In Progress</t>
        </is>
      </c>
      <c r="B13" s="16">
        <f>COUNTIF('03 SEBI PYQ Topics'!E3:E22,"In Progress")</f>
        <v/>
      </c>
    </row>
    <row r="14">
      <c r="A14" s="16" t="inlineStr">
        <is>
          <t>Revised</t>
        </is>
      </c>
      <c r="B14" s="16">
        <f>COUNTIF('03 SEBI PYQ Topics'!E3:E22,"Revised")</f>
        <v/>
      </c>
    </row>
    <row r="15">
      <c r="A15" s="16" t="inlineStr">
        <is>
          <t>Mastered</t>
        </is>
      </c>
      <c r="B15" s="16">
        <f>COUNTIF('03 SEBI PYQ Topics'!E3:E22,"Mastered")</f>
        <v/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2026-06-27T12:27:20Z</dcterms:created>
  <dcterms:modified xmlns:dcterms="http://purl.org/dc/terms/" xmlns:xsi="http://www.w3.org/2001/XMLSchema-instance" xsi:type="dcterms:W3CDTF">2026-06-30T12:36:05Z</dcterms:modified>
</cp:coreProperties>
</file>